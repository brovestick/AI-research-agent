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/Library/Mobile Documents/com~apple~CloudDocs/research_agent/"/>
    </mc:Choice>
  </mc:AlternateContent>
  <xr:revisionPtr revIDLastSave="0" documentId="13_ncr:1_{D15B8A21-1E97-424D-935E-77C802C6D7B8}" xr6:coauthVersionLast="47" xr6:coauthVersionMax="47" xr10:uidLastSave="{00000000-0000-0000-0000-000000000000}"/>
  <bookViews>
    <workbookView xWindow="640" yWindow="660" windowWidth="28100" windowHeight="17160" xr2:uid="{395B7EB2-6354-9D4A-8F6C-9EFA792A7F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B4" i="1" l="1" a="1"/>
  <c r="B4" i="1" s="1"/>
  <c r="B5" i="1" a="1"/>
  <c r="B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<sst xmlns="http://schemas.openxmlformats.org/spreadsheetml/2006/main" count="13" uniqueCount="13">
  <si>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field</t>
  </si>
  <si>
    <t>value</t>
  </si>
  <si>
    <t>company</t>
  </si>
  <si>
    <t>code</t>
  </si>
  <si>
    <t>price</t>
  </si>
  <si>
    <t>shares</t>
  </si>
  <si>
    <t>industry_type</t>
  </si>
  <si>
    <t>materials</t>
  </si>
  <si>
    <t>comps</t>
  </si>
  <si>
    <t>consensus</t>
  </si>
  <si>
    <t>material_prices</t>
  </si>
  <si>
    <t>振江股份</t>
    <phoneticPr fontId="1" type="noConversion"/>
  </si>
  <si>
    <t>2025E:0.88,2026E:1.73,2027E:2.32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</si>
</sst>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00"/>
    <numFmt numFmtId="182" formatCode="#,##0.000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80" fontId="2" fillId="0" borderId="0" xfId="0" applyNumberFormat="1" applyFont="1">
      <alignment vertical="center"/>
    </xf>
    <xf numFmtId="14" fontId="0" fillId="0" borderId="0" xfId="0" applyNumberFormat="1">
      <alignment vertical="center"/>
    </xf>
    <xf numFmtId="182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487A4C-34E5-6446-A032-6E84DAB5423C}">
  <we:reference id="wa200006259" version="1.0.0.6" store="zh-CN" storeType="OMEX"/>
  <we:alternateReferences>
    <we:reference id="wa200006259" version="1.0.0.6" store="WA200006259" storeType="OMEX"/>
  </we:alternateReferences>
  <we:properties/>
  <we:bindings>
    <we:binding id="myBinding" type="matrix" appref="{5B275F7E-2525-0A4A-8A6F-0FB6A8971775}"/>
  </we:bindings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_xldudf_HXAD3</we:customFunctionIds>
        <we:customFunctionIds>_xldudf_HXIFIND</we:customFunctionIds>
        <we:customFunctionIds>_xldudf_HXDS</we:customFunctionIds>
        <we:customFunctionIds>_xldudf_HXDS2</we:customFunctionIds>
        <we:customFunctionIds>_xldudf_HXHQ</we:customFunctionIds>
        <we:customFunctionIds>_xldudf_HXMEDB</we:customFunctionIds>
        <we:customFunctionIds>_xldudf_HXGP</we:customFunctionIds>
        <we:customFunctionIds>_xldudf_HXTDAYSOFFSET</we:customFunctionIds>
        <we:customFunctionIds>_xldudf_HX_MEDB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76B7-74EB-3843-B255-EE2FECC72379}">
  <dimension ref="A1:D10"/>
  <sheetViews>
    <sheetView tabSelected="1" workbookViewId="0">
      <selection activeCell="B6" sqref="B6"/>
    </sheetView>
  </sheetViews>
  <sheetFormatPr baseColWidth="10" defaultRowHeight="16"/>
  <sheetData>
    <row r="1" spans="1:4">
      <c r="A1" s="1" t="s">
        <v>0</v>
      </c>
      <c r="B1" s="1" t="s">
        <v>1</v>
      </c>
      <c r="D1" s="3">
        <f ca="1">TODAY()-1</f>
        <v>46089</v>
      </c>
    </row>
    <row r="2" spans="1:4">
      <c r="A2" s="1" t="s">
        <v>2</v>
      </c>
      <c r="B2" s="1" t="s">
        <v>11</v>
      </c>
    </row>
    <row r="3" spans="1:4">
      <c r="A3" s="1" t="s">
        <v>3</v>
      </c>
      <c r="B3" s="1">
        <v>603507</v>
      </c>
    </row>
    <row r="4" spans="1:4">
      <c r="A4" s="1" t="s">
        <v>4</v>
      </c>
      <c r="B4" s="2" cm="1">
        <f t="array" aca="1" ref="B4" ca="1">_xldudf_HXIFIND("ths_close_price_stock",B3,D1,0)</f>
        <v>32.82</v>
      </c>
    </row>
    <row r="5" spans="1:4">
      <c r="A5" s="1" t="s">
        <v>5</v>
      </c>
      <c r="B5" s="4" cm="1">
        <f t="array" aca="1" ref="B5" ca="1">_xldudf_HXIFIND("ths_total_shares_stock",B3,D1)/100000000</f>
        <v>1.84301307</v>
      </c>
    </row>
    <row r="6" spans="1:4">
      <c r="A6" s="1" t="s">
        <v>6</v>
      </c>
    </row>
    <row r="7" spans="1:4">
      <c r="A7" s="1" t="s">
        <v>7</v>
      </c>
      <c r="B7" s="1"/>
    </row>
    <row r="8" spans="1:4">
      <c r="A8" s="1" t="s">
        <v>8</v>
      </c>
      <c r="B8" s="1"/>
    </row>
    <row r="9" spans="1:4">
      <c r="A9" s="1" t="s">
        <v>9</v>
      </c>
      <c r="B9" s="1" t="s">
        <v>12</v>
      </c>
    </row>
    <row r="10" spans="1:4">
      <c r="A10" s="1" t="s">
        <v>10</v>
      </c>
    </row>
  </sheetData>
  <phoneticPr fontId="1" type="noConversion"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5B275F7E-2525-0A4A-8A6F-0FB6A8971775}">
          <xm:f>Sheet1!$D$1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骏硕 贾</dc:creator>
  <cp:lastModifiedBy>骏硕 贾</cp:lastModifiedBy>
  <dcterms:created xsi:type="dcterms:W3CDTF">2026-03-09T10:59:29Z</dcterms:created>
  <dcterms:modified xsi:type="dcterms:W3CDTF">2026-03-09T11:09:35Z</dcterms:modified>
</cp:coreProperties>
</file>