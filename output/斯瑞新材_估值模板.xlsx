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历史数据" sheetId="1" state="visible" r:id="rId1"/>
    <sheet xmlns:r="http://schemas.openxmlformats.org/officeDocument/2006/relationships" name="假设参数" sheetId="2" state="visible" r:id="rId2"/>
    <sheet xmlns:r="http://schemas.openxmlformats.org/officeDocument/2006/relationships" name="预测输出" sheetId="3" state="visible" r:id="rId3"/>
    <sheet xmlns:r="http://schemas.openxmlformats.org/officeDocument/2006/relationships" name="可比估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6" customWidth="1" min="3" max="3"/>
    <col width="5" customWidth="1" min="4" max="4"/>
    <col width="7" customWidth="1" min="5" max="5"/>
    <col width="5" customWidth="1" min="6" max="6"/>
    <col width="8" customWidth="1" min="7" max="7"/>
    <col width="4" customWidth="1" min="8" max="8"/>
  </cols>
  <sheetData>
    <row r="1">
      <c r="A1" s="1" t="inlineStr">
        <is>
          <t>年份</t>
        </is>
      </c>
      <c r="B1" s="1" t="inlineStr">
        <is>
          <t>营业收入</t>
        </is>
      </c>
      <c r="C1" s="1" t="inlineStr">
        <is>
          <t>营收增速</t>
        </is>
      </c>
      <c r="D1" s="1" t="inlineStr">
        <is>
          <t>毛利率</t>
        </is>
      </c>
      <c r="E1" s="1" t="inlineStr">
        <is>
          <t>归母净利润</t>
        </is>
      </c>
      <c r="F1" s="1" t="inlineStr">
        <is>
          <t>EPS</t>
        </is>
      </c>
      <c r="G1" s="1" t="inlineStr">
        <is>
          <t>股价（年末）</t>
        </is>
      </c>
      <c r="H1" s="1" t="inlineStr">
        <is>
          <t>PE</t>
        </is>
      </c>
    </row>
    <row r="2"/>
    <row r="3"/>
    <row r="4"/>
    <row r="5"/>
    <row r="6"/>
    <row r="7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4" customWidth="1" min="1" max="1"/>
    <col width="4" customWidth="1" min="2" max="2"/>
    <col width="4" customWidth="1" min="3" max="3"/>
    <col width="4" customWidth="1" min="4" max="4"/>
    <col width="6" customWidth="1" min="5" max="5"/>
  </cols>
  <sheetData>
    <row r="1">
      <c r="A1" s="1" t="inlineStr">
        <is>
          <t>参数</t>
        </is>
      </c>
      <c r="B1" s="1" t="inlineStr">
        <is>
          <t>悲观</t>
        </is>
      </c>
      <c r="C1" s="1" t="inlineStr">
        <is>
          <t>中性</t>
        </is>
      </c>
      <c r="D1" s="1" t="inlineStr">
        <is>
          <t>乐观</t>
        </is>
      </c>
      <c r="E1" s="1" t="inlineStr">
        <is>
          <t>备注</t>
        </is>
      </c>
    </row>
    <row r="2">
      <c r="A2" t="inlineStr">
        <is>
          <t>高强高导铜合金材料 营收增速(%)</t>
        </is>
      </c>
      <c r="B2" s="2" t="n"/>
      <c r="C2" s="2" t="n"/>
      <c r="D2" s="2" t="n"/>
      <c r="E2" t="inlineStr">
        <is>
          <t>用户填写</t>
        </is>
      </c>
    </row>
    <row r="3">
      <c r="A3" t="inlineStr">
        <is>
          <t>高强高导铜合金材料 毛利率(%)</t>
        </is>
      </c>
      <c r="B3" s="2" t="n"/>
      <c r="C3" s="2" t="n"/>
      <c r="D3" s="2" t="n"/>
      <c r="E3" t="inlineStr">
        <is>
          <t>用户填写</t>
        </is>
      </c>
    </row>
    <row r="4">
      <c r="A4" t="inlineStr">
        <is>
          <t>核心驱动是产品结构从铸锭材料 营收增速(%)</t>
        </is>
      </c>
      <c r="B4" s="2" t="n"/>
      <c r="C4" s="2" t="n"/>
      <c r="D4" s="2" t="n"/>
      <c r="E4" t="inlineStr">
        <is>
          <t>用户填写</t>
        </is>
      </c>
    </row>
    <row r="5">
      <c r="A5" t="inlineStr">
        <is>
          <t>核心驱动是产品结构从铸锭材料 毛利率(%)</t>
        </is>
      </c>
      <c r="B5" s="2" t="n"/>
      <c r="C5" s="2" t="n"/>
      <c r="D5" s="2" t="n"/>
      <c r="E5" t="inlineStr">
        <is>
          <t>用户填写</t>
        </is>
      </c>
    </row>
    <row r="6">
      <c r="A6" t="inlineStr">
        <is>
          <t>2024年产品 营收增速(%)</t>
        </is>
      </c>
      <c r="B6" s="2" t="n"/>
      <c r="C6" s="2" t="n"/>
      <c r="D6" s="2" t="n"/>
      <c r="E6" t="inlineStr">
        <is>
          <t>用户填写</t>
        </is>
      </c>
    </row>
    <row r="7">
      <c r="A7" t="inlineStr">
        <is>
          <t>2024年产品 毛利率(%)</t>
        </is>
      </c>
      <c r="B7" s="2" t="n"/>
      <c r="C7" s="2" t="n"/>
      <c r="D7" s="2" t="n"/>
      <c r="E7" t="inlineStr">
        <is>
          <t>用户填写</t>
        </is>
      </c>
    </row>
    <row r="8">
      <c r="A8" t="inlineStr">
        <is>
          <t>增量更多依赖推力室等新兴产品 营收增速(%)</t>
        </is>
      </c>
      <c r="B8" s="2" t="n"/>
      <c r="C8" s="2" t="n"/>
      <c r="D8" s="2" t="n"/>
      <c r="E8" t="inlineStr">
        <is>
          <t>用户填写</t>
        </is>
      </c>
    </row>
    <row r="9">
      <c r="A9" t="inlineStr">
        <is>
          <t>增量更多依赖推力室等新兴产品 毛利率(%)</t>
        </is>
      </c>
      <c r="B9" s="2" t="n"/>
      <c r="C9" s="2" t="n"/>
      <c r="D9" s="2" t="n"/>
      <c r="E9" t="inlineStr">
        <is>
          <t>用户填写</t>
        </is>
      </c>
    </row>
    <row r="10">
      <c r="A10" t="inlineStr">
        <is>
          <t>中高压电接触材料 营收增速(%)</t>
        </is>
      </c>
      <c r="B10" s="2" t="n"/>
      <c r="C10" s="2" t="n"/>
      <c r="D10" s="2" t="n"/>
      <c r="E10" t="inlineStr">
        <is>
          <t>用户填写</t>
        </is>
      </c>
    </row>
    <row r="11">
      <c r="A11" t="inlineStr">
        <is>
          <t>中高压电接触材料 毛利率(%)</t>
        </is>
      </c>
      <c r="B11" s="2" t="n"/>
      <c r="C11" s="2" t="n"/>
      <c r="D11" s="2" t="n"/>
      <c r="E11" t="inlineStr">
        <is>
          <t>用户填写</t>
        </is>
      </c>
    </row>
    <row r="12">
      <c r="A12" t="inlineStr">
        <is>
          <t>其他业务 营收增速(%)</t>
        </is>
      </c>
      <c r="B12" s="2" t="n"/>
      <c r="C12" s="2" t="n"/>
      <c r="D12" s="2" t="n"/>
      <c r="E12" t="inlineStr">
        <is>
          <t>用户填写</t>
        </is>
      </c>
    </row>
    <row r="13">
      <c r="A13" t="inlineStr">
        <is>
          <t>其他业务 毛利率(%)</t>
        </is>
      </c>
      <c r="B13" s="2" t="n"/>
      <c r="C13" s="2" t="n"/>
      <c r="D13" s="2" t="n"/>
      <c r="E13" t="inlineStr">
        <is>
          <t>用户填写</t>
        </is>
      </c>
    </row>
    <row r="14">
      <c r="A14" t="inlineStr">
        <is>
          <t>税率假设(%)</t>
        </is>
      </c>
      <c r="B14" s="2" t="n"/>
      <c r="C14" s="2" t="n"/>
      <c r="D14" s="2" t="n"/>
      <c r="E14" t="inlineStr">
        <is>
          <t>用户填写</t>
        </is>
      </c>
    </row>
    <row r="15">
      <c r="A15" t="inlineStr">
        <is>
          <t>费用率假设(%)</t>
        </is>
      </c>
      <c r="B15" s="2" t="n"/>
      <c r="C15" s="2" t="n"/>
      <c r="D15" s="2" t="n"/>
      <c r="E15" t="inlineStr">
        <is>
          <t>用户填写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4" customWidth="1" min="5" max="5"/>
  </cols>
  <sheetData>
    <row r="1">
      <c r="A1" s="1" t="inlineStr">
        <is>
          <t>指标</t>
        </is>
      </c>
      <c r="B1" s="1" t="inlineStr">
        <is>
          <t>悲观</t>
        </is>
      </c>
      <c r="C1" s="1" t="inlineStr">
        <is>
          <t>中性</t>
        </is>
      </c>
      <c r="D1" s="1" t="inlineStr">
        <is>
          <t>乐观</t>
        </is>
      </c>
      <c r="E1" s="1" t="inlineStr">
        <is>
          <t>说明</t>
        </is>
      </c>
    </row>
    <row r="2">
      <c r="A2" t="inlineStr">
        <is>
          <t>未来三年营收（亿元）</t>
        </is>
      </c>
      <c r="B2" s="2">
        <f>IFERROR('历史数据'!B4*(1+'假设参数'!C2/100),"")</f>
        <v/>
      </c>
      <c r="C2" s="2">
        <f>IFERROR('历史数据'!B4*(1+'假设参数'!D2/100),"")</f>
        <v/>
      </c>
      <c r="D2" s="2">
        <f>IFERROR('历史数据'!B4*(1+'假设参数'!E2/100),"")</f>
        <v/>
      </c>
      <c r="E2" t="inlineStr"/>
    </row>
    <row r="3">
      <c r="A3" t="inlineStr">
        <is>
          <t>未来三年毛利（亿元）</t>
        </is>
      </c>
      <c r="B3" s="2" t="n"/>
      <c r="C3" s="2" t="n"/>
      <c r="D3" s="2" t="n"/>
      <c r="E3" t="inlineStr"/>
    </row>
    <row r="4">
      <c r="A4" t="inlineStr">
        <is>
          <t>未来三年归母净利润（亿元）</t>
        </is>
      </c>
      <c r="B4" s="2">
        <f>IFERROR(B4/B8,"")</f>
        <v/>
      </c>
      <c r="C4" s="2">
        <f>IFERROR(C4/C8,"")</f>
        <v/>
      </c>
      <c r="D4" s="2">
        <f>IFERROR(D4/D8,"")</f>
        <v/>
      </c>
      <c r="E4" t="inlineStr"/>
    </row>
    <row r="5">
      <c r="A5" t="inlineStr">
        <is>
          <t>三情景EPS（元）</t>
        </is>
      </c>
      <c r="B5" s="2" t="n"/>
      <c r="C5" s="2" t="n"/>
      <c r="D5" s="2" t="n"/>
      <c r="E5" t="inlineStr"/>
    </row>
    <row r="6">
      <c r="A6" t="inlineStr">
        <is>
          <t>三情景对应PE</t>
        </is>
      </c>
      <c r="B6" s="2" t="n"/>
      <c r="C6" s="2" t="n"/>
      <c r="D6" s="2" t="n"/>
      <c r="E6" t="inlineStr"/>
    </row>
    <row r="7">
      <c r="A7" t="inlineStr">
        <is>
          <t>当前股价（可修改）</t>
        </is>
      </c>
      <c r="B7" s="2" t="n"/>
      <c r="C7" s="2" t="n"/>
      <c r="D7" s="2" t="n"/>
      <c r="E7" t="inlineStr"/>
    </row>
    <row r="8">
      <c r="A8" t="inlineStr">
        <is>
          <t>当前总股本（可修改）</t>
        </is>
      </c>
      <c r="B8" s="2" t="n"/>
      <c r="C8" s="2" t="n"/>
      <c r="D8" s="2" t="n"/>
      <c r="E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8" customWidth="1" min="3" max="3"/>
    <col width="9" customWidth="1" min="4" max="4"/>
    <col width="4" customWidth="1" min="5" max="5"/>
    <col width="7" customWidth="1" min="6" max="6"/>
  </cols>
  <sheetData>
    <row r="1">
      <c r="A1" s="1" t="inlineStr">
        <is>
          <t>公司</t>
        </is>
      </c>
      <c r="B1" s="1" t="inlineStr">
        <is>
          <t>股票代码</t>
        </is>
      </c>
      <c r="C1" s="1" t="inlineStr">
        <is>
          <t>市值（亿元）</t>
        </is>
      </c>
      <c r="D1" s="1" t="inlineStr">
        <is>
          <t>PE（TTM）</t>
        </is>
      </c>
      <c r="E1" s="1" t="inlineStr">
        <is>
          <t>PB</t>
        </is>
      </c>
      <c r="F1" s="1" t="inlineStr">
        <is>
          <t>备注</t>
        </is>
      </c>
    </row>
    <row r="2">
      <c r="A2" t="inlineStr">
        <is>
          <t>斯瑞新材</t>
        </is>
      </c>
      <c r="B2" s="2" t="n"/>
      <c r="C2" s="2" t="n"/>
      <c r="D2" s="2" t="n"/>
      <c r="E2" s="2" t="n"/>
      <c r="F2" t="inlineStr">
        <is>
          <t>目标公司</t>
        </is>
      </c>
    </row>
    <row r="3">
      <c r="B3" s="2" t="n"/>
      <c r="C3" s="2" t="n"/>
      <c r="D3" s="2" t="n"/>
      <c r="E3" s="2" t="n"/>
      <c r="F3" t="inlineStr">
        <is>
          <t>可比公司1</t>
        </is>
      </c>
    </row>
    <row r="4">
      <c r="B4" s="2" t="n"/>
      <c r="C4" s="2" t="n"/>
      <c r="D4" s="2" t="n"/>
      <c r="E4" s="2" t="n"/>
      <c r="F4" t="inlineStr">
        <is>
          <t>可比公司2</t>
        </is>
      </c>
    </row>
    <row r="5">
      <c r="B5" s="2" t="n"/>
      <c r="C5" s="2" t="n"/>
      <c r="D5" s="2" t="n"/>
      <c r="E5" s="2" t="n"/>
      <c r="F5" t="inlineStr">
        <is>
          <t>可比公司3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2026-03-07T13:17:57Z</dcterms:created>
  <dcterms:modified xmlns:dcterms="http://purl.org/dc/terms/" xmlns:xsi="http://www.w3.org/2001/XMLSchema-instance" xsi:type="dcterms:W3CDTF">2026-03-07T13:17:57Z</dcterms:modified>
</cp:coreProperties>
</file>